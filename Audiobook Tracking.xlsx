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ustomProperty2.bin" ContentType="application/vnd.openxmlformats-officedocument.spreadsheetml.customProperty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hillips66-my.sharepoint.com/personal/joshua_peterson_p66_com/Documents/Documents/"/>
    </mc:Choice>
  </mc:AlternateContent>
  <xr:revisionPtr revIDLastSave="7" documentId="8_{9ABCB6C5-115F-487E-91C4-AB178B99D6AB}" xr6:coauthVersionLast="47" xr6:coauthVersionMax="47" xr10:uidLastSave="{8F50D097-8348-4B0B-9BA1-B997D96DA7AB}"/>
  <bookViews>
    <workbookView xWindow="-120" yWindow="-120" windowWidth="29040" windowHeight="15720" xr2:uid="{D4A27366-BE8D-4C05-BC5C-B6AE5BD20C6F}"/>
  </bookViews>
  <sheets>
    <sheet name="2026 Data" sheetId="3" r:id="rId1"/>
    <sheet name="2026 Stats" sheetId="4" r:id="rId2"/>
  </sheets>
  <calcPr calcId="191029" concurrentManualCount="12"/>
  <pivotCaches>
    <pivotCache cacheId="18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3" l="1"/>
  <c r="F2" i="3" s="1"/>
  <c r="J2" i="3" s="1"/>
  <c r="I2" i="3"/>
  <c r="G9" i="4"/>
  <c r="H9" i="4" s="1"/>
  <c r="G8" i="4"/>
  <c r="H8" i="4" s="1"/>
  <c r="D2" i="3"/>
  <c r="G4" i="4"/>
  <c r="G5" i="4"/>
</calcChain>
</file>

<file path=xl/sharedStrings.xml><?xml version="1.0" encoding="utf-8"?>
<sst xmlns="http://schemas.openxmlformats.org/spreadsheetml/2006/main" count="80" uniqueCount="75">
  <si>
    <t>Title</t>
  </si>
  <si>
    <t>Hours</t>
  </si>
  <si>
    <t>Number</t>
  </si>
  <si>
    <t>Author</t>
  </si>
  <si>
    <t>Martha Wells</t>
  </si>
  <si>
    <t>Dan Brown</t>
  </si>
  <si>
    <t xml:space="preserve">Mins </t>
  </si>
  <si>
    <t>Row Labels</t>
  </si>
  <si>
    <t>Grand Total</t>
  </si>
  <si>
    <t xml:space="preserve">Sum of Mins </t>
  </si>
  <si>
    <t>Count of Author</t>
  </si>
  <si>
    <t xml:space="preserve">Minutes Listened </t>
  </si>
  <si>
    <t>Books Listen</t>
  </si>
  <si>
    <t xml:space="preserve">Longest Book </t>
  </si>
  <si>
    <t>Shortest Book</t>
  </si>
  <si>
    <t>Sped Up'd</t>
  </si>
  <si>
    <t>Number of Hours</t>
  </si>
  <si>
    <t>Sped Up</t>
  </si>
  <si>
    <t>The Hunger of the Gods</t>
  </si>
  <si>
    <t>Start Date</t>
  </si>
  <si>
    <t>End Date</t>
  </si>
  <si>
    <t>Source</t>
  </si>
  <si>
    <t>Num of Days</t>
  </si>
  <si>
    <t>Avg Min / Day</t>
  </si>
  <si>
    <t>John Gywnne</t>
  </si>
  <si>
    <t xml:space="preserve">Audible </t>
  </si>
  <si>
    <t>Caste</t>
  </si>
  <si>
    <t>Isabel Wilkerson</t>
  </si>
  <si>
    <t>Primal Hunter</t>
  </si>
  <si>
    <t>Zogarth</t>
  </si>
  <si>
    <t>The Fury of the Gods</t>
  </si>
  <si>
    <t>Primal Hunter 2</t>
  </si>
  <si>
    <t>Upgrade</t>
  </si>
  <si>
    <t>Blake Crouch</t>
  </si>
  <si>
    <t>Sapiens</t>
  </si>
  <si>
    <t>Yuval Noah Harari</t>
  </si>
  <si>
    <t>The Perfect Run</t>
  </si>
  <si>
    <t>Malice</t>
  </si>
  <si>
    <t>Recursion</t>
  </si>
  <si>
    <t xml:space="preserve">Jurassic Park </t>
  </si>
  <si>
    <t>Michael Crichton</t>
  </si>
  <si>
    <t>The Lost World</t>
  </si>
  <si>
    <t>Primal Hunter 3</t>
  </si>
  <si>
    <t>The Secret Life of The Universe</t>
  </si>
  <si>
    <t>Nathalie Cabrol</t>
  </si>
  <si>
    <t>Atmosphere</t>
  </si>
  <si>
    <t>Taylor Jenkins Reid</t>
  </si>
  <si>
    <t>(blank)</t>
  </si>
  <si>
    <t>Maxime Durand</t>
  </si>
  <si>
    <t>The Three-Body Problem</t>
  </si>
  <si>
    <t>Cixin Liu</t>
  </si>
  <si>
    <t>Fugitive Telemetry</t>
  </si>
  <si>
    <t>Primal Hunter 4</t>
  </si>
  <si>
    <t>Valor</t>
  </si>
  <si>
    <t>The Apollo Murders</t>
  </si>
  <si>
    <t>Chris Hadfield</t>
  </si>
  <si>
    <t>The Dark Forest</t>
  </si>
  <si>
    <t>Parable of the Sower</t>
  </si>
  <si>
    <t>Octavia E Butler</t>
  </si>
  <si>
    <t>Primal Hunter 5</t>
  </si>
  <si>
    <t>The Night Circus</t>
  </si>
  <si>
    <t>Erin Morgenstern</t>
  </si>
  <si>
    <t>Primal Hunter 6</t>
  </si>
  <si>
    <t>The Wager</t>
  </si>
  <si>
    <t>Death's End</t>
  </si>
  <si>
    <t>David Grann</t>
  </si>
  <si>
    <t>The Perfect Run 2</t>
  </si>
  <si>
    <t>Ruin</t>
  </si>
  <si>
    <t xml:space="preserve">The Primal Hunter 7 </t>
  </si>
  <si>
    <t>The Da Vinci Code</t>
  </si>
  <si>
    <t>The Perfect Run 3</t>
  </si>
  <si>
    <t>Pines</t>
  </si>
  <si>
    <t>System Collapse</t>
  </si>
  <si>
    <t>Homo Deus</t>
  </si>
  <si>
    <t>Current Speed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</si>
</sst>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43" formatCode="_(* #,##0.00_);_(* \(#,##0.00\);_(* &quot;-&quot;??_);_(@_)"/>
    <numFmt numFmtId="164" formatCode="[h]:mm"/>
    <numFmt numFmtId="165" formatCode="_(* #,##0_);_(* \(#,##0\);_(* &quot;-&quot;??_);_(@_)"/>
    <numFmt numFmtId="166" formatCode="0.000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3F3F76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C99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3" fillId="2" borderId="1" applyNumberFormat="0" applyAlignment="0" applyProtection="0"/>
  </cellStyleXfs>
  <cellXfs count="18">
    <xf numFmtId="0" fontId="0" fillId="0" borderId="0" xfId="0"/>
    <xf numFmtId="2" fontId="0" fillId="0" borderId="0" xfId="0" applyNumberFormat="1"/>
    <xf numFmtId="1" fontId="0" fillId="0" borderId="0" xfId="0" applyNumberFormat="1"/>
    <xf numFmtId="20" fontId="0" fillId="0" borderId="0" xfId="0" applyNumberFormat="1"/>
    <xf numFmtId="164" fontId="0" fillId="0" borderId="0" xfId="0" applyNumberFormat="1"/>
    <xf numFmtId="2" fontId="0" fillId="0" borderId="0" xfId="1" applyNumberFormat="1" applyFont="1"/>
    <xf numFmtId="43" fontId="0" fillId="0" borderId="0" xfId="1" applyFont="1"/>
    <xf numFmtId="0" fontId="0" fillId="0" borderId="0" xfId="0" pivotButton="1"/>
    <xf numFmtId="0" fontId="0" fillId="0" borderId="0" xfId="0" applyAlignment="1">
      <alignment horizontal="left"/>
    </xf>
    <xf numFmtId="41" fontId="0" fillId="0" borderId="0" xfId="0" applyNumberFormat="1"/>
    <xf numFmtId="165" fontId="0" fillId="0" borderId="0" xfId="1" applyNumberFormat="1" applyFont="1"/>
    <xf numFmtId="43" fontId="0" fillId="0" borderId="0" xfId="0" applyNumberFormat="1"/>
    <xf numFmtId="166" fontId="0" fillId="0" borderId="0" xfId="0" applyNumberFormat="1"/>
    <xf numFmtId="0" fontId="2" fillId="0" borderId="0" xfId="0" applyFont="1"/>
    <xf numFmtId="14" fontId="0" fillId="0" borderId="0" xfId="0" applyNumberFormat="1"/>
    <xf numFmtId="164" fontId="3" fillId="2" borderId="1" xfId="2" applyNumberFormat="1"/>
    <xf numFmtId="0" fontId="3" fillId="2" borderId="1" xfId="2"/>
    <xf numFmtId="14" fontId="3" fillId="2" borderId="1" xfId="2" applyNumberFormat="1"/>
  </cellXfs>
  <cellStyles count="3">
    <cellStyle name="Comma" xfId="1" builtinId="3"/>
    <cellStyle name="Input" xfId="2" builtinId="2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eterson, Joshua" refreshedDate="46251.456598958335" missingItemsLimit="0" createdVersion="8" refreshedVersion="8" minRefreshableVersion="3" recordCount="54" xr:uid="{DFDBB909-6459-447B-B3A1-82A07DCE9244}">
  <cacheSource type="worksheet">
    <worksheetSource ref="A1:K1048576" sheet="2026 Data"/>
  </cacheSource>
  <cacheFields count="11">
    <cacheField name="Title" numFmtId="0">
      <sharedItems containsBlank="1" count="36">
        <s v="The Hunger of the Gods"/>
        <s v="Primal Hunter"/>
        <s v="Caste"/>
        <s v="The Fury of the Gods"/>
        <s v="Primal Hunter 2"/>
        <s v="Upgrade"/>
        <s v="Sapiens"/>
        <s v="Jurassic Park "/>
        <s v="The Lost World"/>
        <s v="Malice"/>
        <s v="The Secret Life of The Universe"/>
        <s v="Primal Hunter 3"/>
        <s v="Recursion"/>
        <s v="Atmosphere"/>
        <s v="The Perfect Run"/>
        <s v="The Three-Body Problem"/>
        <s v="Fugitive Telemetry"/>
        <s v="Primal Hunter 4"/>
        <s v="Valor"/>
        <s v="The Apollo Murders"/>
        <s v="The Dark Forest"/>
        <s v="Parable of the Sower"/>
        <s v="Primal Hunter 5"/>
        <s v="The Night Circus"/>
        <s v="Primal Hunter 6"/>
        <s v="Death's End"/>
        <s v="The Wager"/>
        <s v="The Perfect Run 2"/>
        <s v="Ruin"/>
        <s v="The Primal Hunter 7 "/>
        <s v="System Collapse"/>
        <s v="The Da Vinci Code"/>
        <s v="Pines"/>
        <s v="The Perfect Run 3"/>
        <s v="Homo Deus"/>
        <m/>
      </sharedItems>
    </cacheField>
    <cacheField name="Author" numFmtId="0">
      <sharedItems containsBlank="1" count="17">
        <s v="John Gywnne"/>
        <s v="Zogarth"/>
        <s v="Isabel Wilkerson"/>
        <s v="Blake Crouch"/>
        <s v="Yuval Noah Harari"/>
        <s v="Michael Crichton"/>
        <s v="Nathalie Cabrol"/>
        <s v="Taylor Jenkins Reid"/>
        <s v="Maxime Durand"/>
        <s v="Cixin Liu"/>
        <s v="Martha Wells"/>
        <s v="Chris Hadfield"/>
        <s v="Octavia E Butler"/>
        <s v="Erin Morgenstern"/>
        <s v="David Grann"/>
        <s v="Dan Brown"/>
        <m/>
      </sharedItems>
    </cacheField>
    <cacheField name="Hours" numFmtId="0">
      <sharedItems containsNonDate="0" containsDate="1" containsString="0" containsBlank="1" minDate="1899-12-30T04:24:00" maxDate="1899-12-31T04:51:00"/>
    </cacheField>
    <cacheField name="Number" numFmtId="0">
      <sharedItems containsString="0" containsBlank="1" containsNumber="1" minValue="4.3999999999999995" maxValue="28.85"/>
    </cacheField>
    <cacheField name="Sped Up" numFmtId="0">
      <sharedItems containsString="0" containsBlank="1" containsNumber="1" minValue="2.5142857142857138" maxValue="16.485714285714288"/>
    </cacheField>
    <cacheField name="Mins " numFmtId="0">
      <sharedItems containsString="0" containsBlank="1" containsNumber="1" minValue="150.85714285714283" maxValue="989.14285714285722"/>
    </cacheField>
    <cacheField name="Start Date" numFmtId="0">
      <sharedItems containsNonDate="0" containsDate="1" containsString="0" containsBlank="1" minDate="2026-01-03T00:00:00" maxDate="2026-08-12T00:00:00"/>
    </cacheField>
    <cacheField name="End Date" numFmtId="0">
      <sharedItems containsNonDate="0" containsDate="1" containsString="0" containsBlank="1" minDate="2026-01-13T00:00:00" maxDate="2026-08-18T00:00:00"/>
    </cacheField>
    <cacheField name="Num of Days" numFmtId="0">
      <sharedItems containsString="0" containsBlank="1" containsNumber="1" containsInteger="1" minValue="2" maxValue="17"/>
    </cacheField>
    <cacheField name="Avg Min / Day" numFmtId="0">
      <sharedItems containsString="0" containsBlank="1" containsNumber="1" minValue="47.688311688311686" maxValue="162.20588235294119"/>
    </cacheField>
    <cacheField name="Source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4">
  <r>
    <x v="0"/>
    <x v="0"/>
    <d v="1899-12-30T22:57:00"/>
    <n v="22.950000000000003"/>
    <n v="13.500000000000002"/>
    <n v="810.00000000000011"/>
    <d v="2026-01-03T00:00:00"/>
    <d v="2026-01-13T00:00:00"/>
    <n v="11"/>
    <n v="73.63636363636364"/>
    <s v="Audible "/>
  </r>
  <r>
    <x v="1"/>
    <x v="1"/>
    <d v="1899-12-30T20:09:00"/>
    <n v="20.149999999999999"/>
    <n v="11.514285714285714"/>
    <n v="690.85714285714289"/>
    <d v="2026-01-13T00:00:00"/>
    <d v="2026-01-20T00:00:00"/>
    <n v="8"/>
    <n v="86.357142857142861"/>
    <s v="Audible "/>
  </r>
  <r>
    <x v="2"/>
    <x v="2"/>
    <d v="1899-12-30T15:10:00"/>
    <n v="15.166666666666666"/>
    <n v="8.6666666666666661"/>
    <n v="520"/>
    <d v="2026-01-20T00:00:00"/>
    <d v="2026-01-29T00:00:00"/>
    <n v="10"/>
    <n v="52"/>
    <s v="Audible "/>
  </r>
  <r>
    <x v="3"/>
    <x v="0"/>
    <d v="1899-12-30T19:32:00"/>
    <n v="19.533333333333331"/>
    <n v="11.161904761904761"/>
    <n v="669.71428571428567"/>
    <d v="2026-02-02T00:00:00"/>
    <d v="2026-02-06T00:00:00"/>
    <n v="5"/>
    <n v="133.94285714285712"/>
    <s v="Audible "/>
  </r>
  <r>
    <x v="4"/>
    <x v="1"/>
    <d v="1899-12-30T19:25:00"/>
    <n v="19.416666666666668"/>
    <n v="11.095238095238097"/>
    <n v="665.71428571428578"/>
    <d v="2026-02-07T00:00:00"/>
    <d v="2026-02-12T00:00:00"/>
    <n v="6"/>
    <n v="110.95238095238096"/>
    <s v="Audible "/>
  </r>
  <r>
    <x v="5"/>
    <x v="3"/>
    <d v="1899-12-30T09:47:00"/>
    <n v="9.7833333333333332"/>
    <n v="5.5904761904761902"/>
    <n v="335.42857142857139"/>
    <d v="2026-02-16T00:00:00"/>
    <d v="2026-02-18T00:00:00"/>
    <n v="3"/>
    <n v="111.8095238095238"/>
    <s v="Audible "/>
  </r>
  <r>
    <x v="6"/>
    <x v="4"/>
    <d v="1899-12-30T15:18:00"/>
    <n v="15.299999999999999"/>
    <n v="8.742857142857142"/>
    <n v="524.57142857142856"/>
    <d v="2026-02-18T00:00:00"/>
    <d v="2026-02-28T00:00:00"/>
    <n v="11"/>
    <n v="47.688311688311686"/>
    <s v="Libby"/>
  </r>
  <r>
    <x v="7"/>
    <x v="5"/>
    <d v="1899-12-30T15:10:00"/>
    <n v="15.166666666666666"/>
    <n v="8.6666666666666661"/>
    <n v="520"/>
    <d v="2026-02-28T00:00:00"/>
    <d v="2026-03-07T00:00:00"/>
    <n v="8"/>
    <n v="65"/>
    <s v="Audible "/>
  </r>
  <r>
    <x v="8"/>
    <x v="5"/>
    <d v="1899-12-30T15:20:00"/>
    <n v="15.333333333333332"/>
    <n v="8.761904761904761"/>
    <n v="525.71428571428567"/>
    <d v="2026-03-09T00:00:00"/>
    <d v="2026-03-14T00:00:00"/>
    <n v="6"/>
    <n v="87.619047619047606"/>
    <s v="Libby"/>
  </r>
  <r>
    <x v="9"/>
    <x v="0"/>
    <d v="1899-12-30T23:50:00"/>
    <n v="23.833333333333336"/>
    <n v="13.61904761904762"/>
    <n v="817.14285714285722"/>
    <d v="2026-03-16T00:00:00"/>
    <d v="2026-04-01T00:00:00"/>
    <n v="17"/>
    <n v="48.067226890756309"/>
    <s v="Libby"/>
  </r>
  <r>
    <x v="10"/>
    <x v="6"/>
    <d v="1899-12-30T09:18:00"/>
    <n v="9.3000000000000007"/>
    <n v="5.3142857142857149"/>
    <n v="318.85714285714289"/>
    <d v="2026-04-01T00:00:00"/>
    <d v="2026-04-06T00:00:00"/>
    <n v="6"/>
    <n v="53.142857142857146"/>
    <s v="Libby"/>
  </r>
  <r>
    <x v="11"/>
    <x v="1"/>
    <d v="1899-12-30T18:23:00"/>
    <n v="18.383333333333333"/>
    <n v="10.813725490196079"/>
    <n v="648.82352941176475"/>
    <d v="2026-04-06T00:00:00"/>
    <d v="2026-04-09T00:00:00"/>
    <n v="4"/>
    <n v="162.20588235294119"/>
    <s v="Audible "/>
  </r>
  <r>
    <x v="12"/>
    <x v="3"/>
    <d v="1899-12-30T10:47:00"/>
    <n v="10.783333333333333"/>
    <n v="6.3431372549019605"/>
    <n v="380.58823529411762"/>
    <d v="2026-04-09T00:00:00"/>
    <d v="2026-04-12T00:00:00"/>
    <n v="4"/>
    <n v="95.147058823529406"/>
    <s v="Libby"/>
  </r>
  <r>
    <x v="13"/>
    <x v="7"/>
    <d v="1899-12-30T09:52:00"/>
    <n v="9.8666666666666671"/>
    <n v="5.8039215686274517"/>
    <n v="348.23529411764707"/>
    <d v="2026-04-12T00:00:00"/>
    <d v="2026-04-14T00:00:00"/>
    <n v="3"/>
    <n v="116.07843137254902"/>
    <s v="Libby"/>
  </r>
  <r>
    <x v="14"/>
    <x v="8"/>
    <d v="1899-12-30T17:58:00"/>
    <n v="17.966666666666669"/>
    <n v="10.568627450980394"/>
    <n v="634.11764705882365"/>
    <d v="2026-04-14T00:00:00"/>
    <d v="2026-04-20T00:00:00"/>
    <n v="7"/>
    <n v="90.588235294117666"/>
    <s v="Audible "/>
  </r>
  <r>
    <x v="15"/>
    <x v="9"/>
    <d v="1899-12-30T13:53:00"/>
    <n v="13.883333333333335"/>
    <n v="7.9333333333333345"/>
    <n v="476.00000000000006"/>
    <d v="2026-04-20T00:00:00"/>
    <d v="2026-04-23T00:00:00"/>
    <n v="4"/>
    <n v="119.00000000000001"/>
    <s v="Audible "/>
  </r>
  <r>
    <x v="16"/>
    <x v="10"/>
    <d v="1899-12-30T04:24:00"/>
    <n v="4.3999999999999995"/>
    <n v="2.5142857142857138"/>
    <n v="150.85714285714283"/>
    <d v="2026-04-24T00:00:00"/>
    <d v="2026-04-25T00:00:00"/>
    <n v="2"/>
    <n v="75.428571428571416"/>
    <s v="Libby"/>
  </r>
  <r>
    <x v="17"/>
    <x v="1"/>
    <d v="1899-12-30T20:28:00"/>
    <n v="20.466666666666665"/>
    <n v="11.695238095238095"/>
    <n v="701.71428571428567"/>
    <d v="2026-04-25T00:00:00"/>
    <d v="2026-04-30T00:00:00"/>
    <n v="6"/>
    <n v="116.95238095238095"/>
    <s v="Audible "/>
  </r>
  <r>
    <x v="18"/>
    <x v="0"/>
    <d v="1899-12-30T23:48:00"/>
    <n v="23.8"/>
    <n v="13.222222222222221"/>
    <n v="793.33333333333326"/>
    <d v="2026-04-30T00:00:00"/>
    <d v="2026-05-09T00:00:00"/>
    <n v="10"/>
    <n v="79.333333333333329"/>
    <s v="Libby"/>
  </r>
  <r>
    <x v="19"/>
    <x v="11"/>
    <d v="1899-12-30T15:15:00"/>
    <n v="15.25"/>
    <n v="8.9705882352941178"/>
    <n v="538.23529411764707"/>
    <d v="2026-05-10T00:00:00"/>
    <d v="2026-05-13T00:00:00"/>
    <n v="4"/>
    <n v="134.55882352941177"/>
    <s v="Spotify"/>
  </r>
  <r>
    <x v="20"/>
    <x v="9"/>
    <d v="1899-12-30T20:01:00"/>
    <n v="20.016666666666666"/>
    <n v="11.438095238095238"/>
    <n v="686.28571428571433"/>
    <d v="2026-05-15T00:00:00"/>
    <d v="2026-05-20T00:00:00"/>
    <n v="6"/>
    <n v="114.38095238095239"/>
    <s v="Audible "/>
  </r>
  <r>
    <x v="21"/>
    <x v="12"/>
    <d v="1899-12-30T12:00:00"/>
    <n v="12"/>
    <n v="6.6666666666666661"/>
    <n v="399.99999999999994"/>
    <d v="2026-05-22T00:00:00"/>
    <d v="2026-05-26T00:00:00"/>
    <n v="5"/>
    <n v="79.999999999999986"/>
    <s v="Libby"/>
  </r>
  <r>
    <x v="22"/>
    <x v="1"/>
    <d v="1899-12-30T17:47:00"/>
    <n v="17.783333333333335"/>
    <n v="10.161904761904763"/>
    <n v="609.71428571428578"/>
    <d v="2026-05-29T00:00:00"/>
    <d v="2026-06-02T00:00:00"/>
    <n v="5"/>
    <n v="121.94285714285715"/>
    <s v="Audible "/>
  </r>
  <r>
    <x v="23"/>
    <x v="13"/>
    <d v="1899-12-30T13:40:00"/>
    <n v="13.666666666666666"/>
    <n v="7.5925925925925917"/>
    <n v="455.55555555555549"/>
    <d v="2026-06-02T00:00:00"/>
    <d v="2026-06-05T00:00:00"/>
    <n v="4"/>
    <n v="113.88888888888887"/>
    <s v="Libby"/>
  </r>
  <r>
    <x v="24"/>
    <x v="1"/>
    <d v="1899-12-30T20:08:00"/>
    <n v="20.133333333333333"/>
    <n v="11.504761904761905"/>
    <n v="690.28571428571433"/>
    <d v="2026-06-06T00:00:00"/>
    <d v="2026-06-11T00:00:00"/>
    <n v="6"/>
    <n v="115.04761904761905"/>
    <s v="Audible "/>
  </r>
  <r>
    <x v="25"/>
    <x v="9"/>
    <d v="1899-12-31T04:51:00"/>
    <n v="28.85"/>
    <n v="16.485714285714288"/>
    <n v="989.14285714285722"/>
    <d v="2026-06-11T00:00:00"/>
    <d v="2026-06-24T00:00:00"/>
    <n v="14"/>
    <n v="70.653061224489804"/>
    <s v="Audible "/>
  </r>
  <r>
    <x v="26"/>
    <x v="14"/>
    <d v="1899-12-30T08:28:00"/>
    <n v="8.4666666666666668"/>
    <n v="4.8380952380952378"/>
    <n v="290.28571428571428"/>
    <d v="2026-06-24T00:00:00"/>
    <d v="2026-06-29T00:00:00"/>
    <n v="6"/>
    <n v="48.38095238095238"/>
    <s v="Libby"/>
  </r>
  <r>
    <x v="27"/>
    <x v="8"/>
    <d v="1899-12-30T18:24:00"/>
    <n v="18.400000000000002"/>
    <n v="10.514285714285716"/>
    <n v="630.857142857143"/>
    <d v="2026-06-29T00:00:00"/>
    <d v="2026-07-03T00:00:00"/>
    <n v="5"/>
    <n v="126.17142857142861"/>
    <s v="Audible "/>
  </r>
  <r>
    <x v="28"/>
    <x v="0"/>
    <d v="1899-12-31T04:17:00"/>
    <n v="28.283333333333331"/>
    <n v="16.161904761904761"/>
    <n v="969.71428571428567"/>
    <d v="2026-07-05T00:00:00"/>
    <d v="2026-07-14T00:00:00"/>
    <n v="10"/>
    <n v="96.971428571428561"/>
    <s v="Libby"/>
  </r>
  <r>
    <x v="29"/>
    <x v="1"/>
    <d v="1899-12-30T17:49:00"/>
    <n v="17.816666666666666"/>
    <n v="9.898148148148147"/>
    <n v="593.8888888888888"/>
    <d v="2026-07-14T00:00:00"/>
    <d v="2026-07-20T00:00:00"/>
    <n v="7"/>
    <n v="84.841269841269835"/>
    <s v="Audible "/>
  </r>
  <r>
    <x v="30"/>
    <x v="10"/>
    <d v="1899-12-30T06:36:00"/>
    <n v="6.6000000000000005"/>
    <n v="3.666666666666667"/>
    <n v="220.00000000000003"/>
    <d v="2026-07-20T00:00:00"/>
    <d v="2026-07-21T00:00:00"/>
    <n v="2"/>
    <n v="110.00000000000001"/>
    <s v="Audible "/>
  </r>
  <r>
    <x v="31"/>
    <x v="15"/>
    <d v="1899-12-30T16:59:00"/>
    <n v="16.983333333333334"/>
    <n v="9.4351851851851851"/>
    <n v="566.11111111111109"/>
    <d v="2026-07-21T00:00:00"/>
    <d v="2026-07-29T00:00:00"/>
    <n v="9"/>
    <n v="62.901234567901234"/>
    <s v="Libby"/>
  </r>
  <r>
    <x v="32"/>
    <x v="3"/>
    <d v="1899-12-30T08:58:00"/>
    <n v="8.9666666666666668"/>
    <n v="4.9814814814814818"/>
    <n v="298.88888888888891"/>
    <d v="2026-07-30T00:00:00"/>
    <d v="2026-08-03T00:00:00"/>
    <n v="5"/>
    <n v="59.777777777777786"/>
    <s v="Libby"/>
  </r>
  <r>
    <x v="33"/>
    <x v="8"/>
    <d v="1899-12-30T18:14:00"/>
    <n v="18.233333333333334"/>
    <n v="10.419047619047619"/>
    <n v="625.14285714285711"/>
    <d v="2026-08-04T00:00:00"/>
    <d v="2026-08-10T00:00:00"/>
    <n v="7"/>
    <n v="89.306122448979593"/>
    <s v="Audible "/>
  </r>
  <r>
    <x v="34"/>
    <x v="4"/>
    <d v="1899-12-30T14:54:00"/>
    <n v="14.9"/>
    <n v="8.5142857142857142"/>
    <n v="510.85714285714283"/>
    <d v="2026-08-11T00:00:00"/>
    <d v="2026-08-17T00:00:00"/>
    <n v="7"/>
    <n v="72.979591836734684"/>
    <s v="Audible "/>
  </r>
  <r>
    <x v="35"/>
    <x v="16"/>
    <m/>
    <m/>
    <m/>
    <m/>
    <m/>
    <m/>
    <m/>
    <m/>
    <m/>
  </r>
  <r>
    <x v="35"/>
    <x v="16"/>
    <m/>
    <m/>
    <m/>
    <m/>
    <m/>
    <m/>
    <m/>
    <m/>
    <m/>
  </r>
  <r>
    <x v="35"/>
    <x v="16"/>
    <m/>
    <m/>
    <m/>
    <m/>
    <m/>
    <m/>
    <m/>
    <m/>
    <m/>
  </r>
  <r>
    <x v="35"/>
    <x v="16"/>
    <m/>
    <m/>
    <m/>
    <m/>
    <m/>
    <m/>
    <m/>
    <m/>
    <m/>
  </r>
  <r>
    <x v="35"/>
    <x v="16"/>
    <m/>
    <m/>
    <m/>
    <m/>
    <m/>
    <m/>
    <m/>
    <m/>
    <m/>
  </r>
  <r>
    <x v="35"/>
    <x v="16"/>
    <m/>
    <m/>
    <m/>
    <m/>
    <m/>
    <m/>
    <m/>
    <m/>
    <m/>
  </r>
  <r>
    <x v="35"/>
    <x v="16"/>
    <m/>
    <m/>
    <m/>
    <m/>
    <m/>
    <m/>
    <m/>
    <m/>
    <m/>
  </r>
  <r>
    <x v="35"/>
    <x v="16"/>
    <m/>
    <m/>
    <m/>
    <m/>
    <m/>
    <m/>
    <m/>
    <m/>
    <m/>
  </r>
  <r>
    <x v="35"/>
    <x v="16"/>
    <m/>
    <m/>
    <m/>
    <m/>
    <m/>
    <m/>
    <m/>
    <m/>
    <m/>
  </r>
  <r>
    <x v="35"/>
    <x v="16"/>
    <m/>
    <m/>
    <m/>
    <m/>
    <m/>
    <m/>
    <m/>
    <m/>
    <m/>
  </r>
  <r>
    <x v="35"/>
    <x v="16"/>
    <m/>
    <m/>
    <m/>
    <m/>
    <m/>
    <m/>
    <m/>
    <m/>
    <m/>
  </r>
  <r>
    <x v="35"/>
    <x v="16"/>
    <m/>
    <m/>
    <m/>
    <m/>
    <m/>
    <m/>
    <m/>
    <m/>
    <m/>
  </r>
  <r>
    <x v="35"/>
    <x v="16"/>
    <m/>
    <m/>
    <m/>
    <m/>
    <m/>
    <m/>
    <m/>
    <m/>
    <m/>
  </r>
  <r>
    <x v="35"/>
    <x v="16"/>
    <m/>
    <m/>
    <m/>
    <m/>
    <m/>
    <m/>
    <m/>
    <m/>
    <m/>
  </r>
  <r>
    <x v="35"/>
    <x v="16"/>
    <m/>
    <m/>
    <m/>
    <m/>
    <m/>
    <m/>
    <m/>
    <m/>
    <m/>
  </r>
  <r>
    <x v="35"/>
    <x v="16"/>
    <m/>
    <m/>
    <m/>
    <m/>
    <m/>
    <m/>
    <m/>
    <m/>
    <m/>
  </r>
  <r>
    <x v="35"/>
    <x v="16"/>
    <m/>
    <m/>
    <m/>
    <m/>
    <m/>
    <m/>
    <m/>
    <m/>
    <m/>
  </r>
  <r>
    <x v="35"/>
    <x v="16"/>
    <m/>
    <m/>
    <m/>
    <m/>
    <m/>
    <m/>
    <m/>
    <m/>
    <m/>
  </r>
  <r>
    <x v="35"/>
    <x v="16"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9DB10A3-8B11-4B6F-93CE-B86843AC2B24}" name="PivotTable1" cacheId="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21" firstHeaderRow="0" firstDataRow="1" firstDataCol="1"/>
  <pivotFields count="11">
    <pivotField showAll="0"/>
    <pivotField axis="axisRow" dataField="1" showAll="0" sortType="descending">
      <items count="18">
        <item x="16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</pivotFields>
  <rowFields count="1">
    <field x="1"/>
  </rowFields>
  <rowItems count="18">
    <i>
      <x v="2"/>
    </i>
    <i>
      <x v="1"/>
    </i>
    <i>
      <x v="10"/>
    </i>
    <i>
      <x v="9"/>
    </i>
    <i>
      <x v="6"/>
    </i>
    <i>
      <x v="5"/>
    </i>
    <i>
      <x v="4"/>
    </i>
    <i>
      <x v="16"/>
    </i>
    <i>
      <x v="12"/>
    </i>
    <i>
      <x v="3"/>
    </i>
    <i>
      <x v="14"/>
    </i>
    <i>
      <x v="13"/>
    </i>
    <i>
      <x v="11"/>
    </i>
    <i>
      <x v="8"/>
    </i>
    <i>
      <x v="7"/>
    </i>
    <i>
      <x v="15"/>
    </i>
    <i>
      <x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Author" fld="1" subtotal="count" baseField="0" baseItem="0"/>
    <dataField name="Sum of Mins " fld="5" baseField="1" baseItem="0" numFmtId="4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DEA4AF4-A38E-4C4E-AB56-84EC0F18E47C}" name="PivotTable2" cacheId="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L3:N40" firstHeaderRow="0" firstDataRow="1" firstDataCol="1"/>
  <pivotFields count="11">
    <pivotField axis="axisRow" showAll="0" sortType="descending">
      <items count="37">
        <item x="35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  <pivotField showAll="0"/>
    <pivotField dataField="1" showAll="0"/>
    <pivotField showAll="0"/>
    <pivotField showAll="0"/>
    <pivotField showAll="0"/>
    <pivotField showAll="0"/>
    <pivotField showAll="0"/>
  </pivotFields>
  <rowFields count="1">
    <field x="0"/>
  </rowFields>
  <rowItems count="37">
    <i>
      <x v="26"/>
    </i>
    <i>
      <x v="29"/>
    </i>
    <i>
      <x v="10"/>
    </i>
    <i>
      <x v="1"/>
    </i>
    <i>
      <x v="19"/>
    </i>
    <i>
      <x v="18"/>
    </i>
    <i>
      <x v="2"/>
    </i>
    <i>
      <x v="25"/>
    </i>
    <i>
      <x v="21"/>
    </i>
    <i>
      <x v="4"/>
    </i>
    <i>
      <x v="5"/>
    </i>
    <i>
      <x v="12"/>
    </i>
    <i>
      <x v="15"/>
    </i>
    <i>
      <x v="28"/>
    </i>
    <i>
      <x v="34"/>
    </i>
    <i>
      <x v="23"/>
    </i>
    <i>
      <x v="30"/>
    </i>
    <i>
      <x v="32"/>
    </i>
    <i>
      <x v="20"/>
    </i>
    <i>
      <x v="9"/>
    </i>
    <i>
      <x v="7"/>
    </i>
    <i>
      <x v="8"/>
    </i>
    <i>
      <x v="3"/>
    </i>
    <i>
      <x v="35"/>
    </i>
    <i>
      <x v="16"/>
    </i>
    <i>
      <x v="24"/>
    </i>
    <i>
      <x v="22"/>
    </i>
    <i>
      <x v="13"/>
    </i>
    <i>
      <x v="14"/>
    </i>
    <i>
      <x v="6"/>
    </i>
    <i>
      <x v="11"/>
    </i>
    <i>
      <x v="33"/>
    </i>
    <i>
      <x v="27"/>
    </i>
    <i>
      <x v="31"/>
    </i>
    <i>
      <x v="17"/>
    </i>
    <i>
      <x/>
    </i>
    <i t="grand">
      <x/>
    </i>
  </rowItems>
  <colFields count="1">
    <field x="-2"/>
  </colFields>
  <colItems count="2">
    <i>
      <x/>
    </i>
    <i i="1">
      <x v="1"/>
    </i>
  </colItems>
  <dataFields count="2">
    <dataField name="Sped Up'd" fld="5" baseField="0" baseItem="45" numFmtId="41"/>
    <dataField name="Number of Hours" fld="3" baseField="0" baseItem="45" numFmtId="4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customProperty" Target="../customProperty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82EED1-ADFC-44EF-9281-607DA392ADB3}">
  <dimension ref="A1:N54"/>
  <sheetViews>
    <sheetView tabSelected="1" workbookViewId="0">
      <selection activeCell="I10" sqref="I10"/>
    </sheetView>
  </sheetViews>
  <sheetFormatPr defaultRowHeight="15" x14ac:dyDescent="0.25"/>
  <cols>
    <col min="1" max="1" width="30.5703125" bestFit="1" customWidth="1"/>
    <col min="2" max="2" width="30.5703125" customWidth="1"/>
    <col min="5" max="5" width="11.85546875" customWidth="1"/>
    <col min="6" max="6" width="10.5703125" bestFit="1" customWidth="1"/>
    <col min="7" max="7" width="10" bestFit="1" customWidth="1"/>
    <col min="8" max="8" width="9.42578125" bestFit="1" customWidth="1"/>
    <col min="9" max="9" width="12.42578125" bestFit="1" customWidth="1"/>
    <col min="10" max="10" width="12.85546875" bestFit="1" customWidth="1"/>
    <col min="11" max="11" width="8.140625" bestFit="1" customWidth="1"/>
    <col min="13" max="13" width="14.28515625" bestFit="1" customWidth="1"/>
  </cols>
  <sheetData>
    <row r="1" spans="1:14" x14ac:dyDescent="0.25">
      <c r="A1" s="13" t="s">
        <v>0</v>
      </c>
      <c r="B1" s="13" t="s">
        <v>3</v>
      </c>
      <c r="C1" s="13" t="s">
        <v>1</v>
      </c>
      <c r="D1" s="13" t="s">
        <v>2</v>
      </c>
      <c r="E1" s="13" t="s">
        <v>17</v>
      </c>
      <c r="F1" s="13" t="s">
        <v>6</v>
      </c>
      <c r="G1" s="13" t="s">
        <v>19</v>
      </c>
      <c r="H1" s="13" t="s">
        <v>20</v>
      </c>
      <c r="I1" s="13" t="s">
        <v>22</v>
      </c>
      <c r="J1" s="13" t="s">
        <v>23</v>
      </c>
      <c r="K1" s="13" t="s">
        <v>21</v>
      </c>
      <c r="M1" s="13" t="s">
        <v>74</v>
      </c>
      <c r="N1">
        <v>1.8</v>
      </c>
    </row>
    <row r="2" spans="1:14" x14ac:dyDescent="0.25">
      <c r="A2" s="16" t="s">
        <v>18</v>
      </c>
      <c r="B2" s="16" t="s">
        <v>24</v>
      </c>
      <c r="C2" s="15">
        <v>0.95625000000000004</v>
      </c>
      <c r="D2" s="1">
        <f t="shared" ref="D2" si="0">C2*24</f>
        <v>22.950000000000003</v>
      </c>
      <c r="E2" s="1">
        <f>D2/$N$1</f>
        <v>12.750000000000002</v>
      </c>
      <c r="F2" s="12">
        <f>E2*60</f>
        <v>765.00000000000011</v>
      </c>
      <c r="G2" s="17">
        <v>46025</v>
      </c>
      <c r="H2" s="17">
        <v>46035</v>
      </c>
      <c r="I2">
        <f>H2-G2+1</f>
        <v>11</v>
      </c>
      <c r="J2" s="2">
        <f>F2/I2</f>
        <v>69.545454545454561</v>
      </c>
      <c r="K2" s="16" t="s">
        <v>25</v>
      </c>
    </row>
    <row r="3" spans="1:14" x14ac:dyDescent="0.25">
      <c r="C3" s="4"/>
      <c r="D3" s="1"/>
      <c r="E3" s="1"/>
      <c r="F3" s="12"/>
      <c r="G3" s="14"/>
      <c r="H3" s="14"/>
      <c r="J3" s="2"/>
    </row>
    <row r="4" spans="1:14" x14ac:dyDescent="0.25">
      <c r="C4" s="4"/>
      <c r="D4" s="1"/>
      <c r="E4" s="1"/>
      <c r="F4" s="12"/>
      <c r="G4" s="14"/>
      <c r="H4" s="14"/>
      <c r="J4" s="2"/>
    </row>
    <row r="5" spans="1:14" x14ac:dyDescent="0.25">
      <c r="C5" s="4"/>
      <c r="D5" s="1"/>
      <c r="E5" s="1"/>
      <c r="F5" s="12"/>
      <c r="G5" s="14"/>
      <c r="H5" s="14"/>
      <c r="J5" s="2"/>
    </row>
    <row r="6" spans="1:14" x14ac:dyDescent="0.25">
      <c r="C6" s="4"/>
      <c r="D6" s="1"/>
      <c r="E6" s="1"/>
      <c r="F6" s="12"/>
      <c r="G6" s="14"/>
      <c r="H6" s="14"/>
      <c r="J6" s="2"/>
    </row>
    <row r="7" spans="1:14" x14ac:dyDescent="0.25">
      <c r="C7" s="4"/>
      <c r="D7" s="1"/>
      <c r="E7" s="1"/>
      <c r="F7" s="12"/>
      <c r="G7" s="14"/>
      <c r="H7" s="14"/>
      <c r="J7" s="2"/>
    </row>
    <row r="8" spans="1:14" x14ac:dyDescent="0.25">
      <c r="C8" s="4"/>
      <c r="D8" s="1"/>
      <c r="E8" s="1"/>
      <c r="F8" s="12"/>
      <c r="G8" s="14"/>
      <c r="H8" s="14"/>
      <c r="J8" s="2"/>
    </row>
    <row r="9" spans="1:14" x14ac:dyDescent="0.25">
      <c r="C9" s="4"/>
      <c r="D9" s="1"/>
      <c r="E9" s="1"/>
      <c r="F9" s="12"/>
      <c r="G9" s="14"/>
      <c r="H9" s="14"/>
      <c r="J9" s="2"/>
    </row>
    <row r="10" spans="1:14" x14ac:dyDescent="0.25">
      <c r="C10" s="4"/>
      <c r="D10" s="1"/>
      <c r="E10" s="1"/>
      <c r="F10" s="12"/>
      <c r="G10" s="14"/>
      <c r="H10" s="14"/>
      <c r="J10" s="2"/>
    </row>
    <row r="11" spans="1:14" x14ac:dyDescent="0.25">
      <c r="C11" s="4"/>
      <c r="D11" s="1"/>
      <c r="E11" s="1"/>
      <c r="F11" s="12"/>
      <c r="G11" s="14"/>
      <c r="H11" s="14"/>
      <c r="J11" s="2"/>
    </row>
    <row r="12" spans="1:14" x14ac:dyDescent="0.25">
      <c r="C12" s="4"/>
      <c r="D12" s="1"/>
      <c r="E12" s="1"/>
      <c r="F12" s="12"/>
      <c r="G12" s="14"/>
      <c r="H12" s="14"/>
      <c r="J12" s="2"/>
    </row>
    <row r="13" spans="1:14" x14ac:dyDescent="0.25">
      <c r="C13" s="4"/>
      <c r="D13" s="1"/>
      <c r="E13" s="1"/>
      <c r="F13" s="12"/>
      <c r="G13" s="14"/>
      <c r="H13" s="14"/>
      <c r="J13" s="2"/>
    </row>
    <row r="14" spans="1:14" x14ac:dyDescent="0.25">
      <c r="C14" s="4"/>
      <c r="D14" s="1"/>
      <c r="E14" s="1"/>
      <c r="F14" s="12"/>
      <c r="G14" s="14"/>
      <c r="H14" s="14"/>
      <c r="J14" s="2"/>
    </row>
    <row r="15" spans="1:14" x14ac:dyDescent="0.25">
      <c r="C15" s="4"/>
      <c r="D15" s="1"/>
      <c r="E15" s="1"/>
      <c r="F15" s="12"/>
      <c r="G15" s="14"/>
      <c r="H15" s="14"/>
      <c r="J15" s="2"/>
    </row>
    <row r="16" spans="1:14" x14ac:dyDescent="0.25">
      <c r="C16" s="4"/>
      <c r="D16" s="1"/>
      <c r="E16" s="1"/>
      <c r="F16" s="12"/>
      <c r="G16" s="14"/>
      <c r="H16" s="14"/>
      <c r="J16" s="2"/>
    </row>
    <row r="17" spans="3:10" x14ac:dyDescent="0.25">
      <c r="C17" s="4"/>
      <c r="D17" s="1"/>
      <c r="E17" s="1"/>
      <c r="F17" s="12"/>
      <c r="G17" s="14"/>
      <c r="H17" s="14"/>
      <c r="J17" s="2"/>
    </row>
    <row r="18" spans="3:10" x14ac:dyDescent="0.25">
      <c r="C18" s="4"/>
      <c r="D18" s="1"/>
      <c r="E18" s="1"/>
      <c r="F18" s="12"/>
      <c r="G18" s="14"/>
      <c r="H18" s="14"/>
      <c r="J18" s="2"/>
    </row>
    <row r="19" spans="3:10" x14ac:dyDescent="0.25">
      <c r="C19" s="4"/>
      <c r="D19" s="1"/>
      <c r="E19" s="1"/>
      <c r="F19" s="12"/>
      <c r="G19" s="14"/>
      <c r="H19" s="14"/>
      <c r="J19" s="2"/>
    </row>
    <row r="20" spans="3:10" x14ac:dyDescent="0.25">
      <c r="C20" s="4"/>
      <c r="D20" s="1"/>
      <c r="E20" s="1"/>
      <c r="F20" s="12"/>
      <c r="G20" s="14"/>
      <c r="H20" s="14"/>
      <c r="J20" s="2"/>
    </row>
    <row r="21" spans="3:10" x14ac:dyDescent="0.25">
      <c r="C21" s="4"/>
      <c r="D21" s="1"/>
      <c r="E21" s="1"/>
      <c r="F21" s="12"/>
      <c r="G21" s="14"/>
      <c r="H21" s="14"/>
      <c r="J21" s="2"/>
    </row>
    <row r="22" spans="3:10" x14ac:dyDescent="0.25">
      <c r="C22" s="4"/>
      <c r="D22" s="1"/>
      <c r="E22" s="1"/>
      <c r="F22" s="12"/>
      <c r="G22" s="14"/>
      <c r="H22" s="14"/>
      <c r="J22" s="2"/>
    </row>
    <row r="23" spans="3:10" x14ac:dyDescent="0.25">
      <c r="C23" s="4"/>
      <c r="D23" s="1"/>
      <c r="E23" s="1"/>
      <c r="F23" s="12"/>
      <c r="G23" s="14"/>
      <c r="H23" s="14"/>
      <c r="J23" s="2"/>
    </row>
    <row r="24" spans="3:10" x14ac:dyDescent="0.25">
      <c r="C24" s="4"/>
      <c r="D24" s="1"/>
      <c r="E24" s="1"/>
      <c r="F24" s="12"/>
      <c r="G24" s="14"/>
      <c r="H24" s="14"/>
      <c r="J24" s="2"/>
    </row>
    <row r="25" spans="3:10" x14ac:dyDescent="0.25">
      <c r="C25" s="4"/>
      <c r="D25" s="1"/>
      <c r="E25" s="1"/>
      <c r="F25" s="12"/>
      <c r="G25" s="14"/>
      <c r="H25" s="14"/>
      <c r="J25" s="2"/>
    </row>
    <row r="26" spans="3:10" x14ac:dyDescent="0.25">
      <c r="C26" s="4"/>
      <c r="D26" s="1"/>
      <c r="E26" s="1"/>
      <c r="F26" s="12"/>
      <c r="G26" s="14"/>
      <c r="H26" s="14"/>
      <c r="J26" s="2"/>
    </row>
    <row r="27" spans="3:10" x14ac:dyDescent="0.25">
      <c r="C27" s="4"/>
      <c r="D27" s="1"/>
      <c r="E27" s="1"/>
      <c r="F27" s="12"/>
      <c r="G27" s="14"/>
      <c r="H27" s="14"/>
      <c r="J27" s="2"/>
    </row>
    <row r="28" spans="3:10" x14ac:dyDescent="0.25">
      <c r="C28" s="4"/>
      <c r="D28" s="1"/>
      <c r="E28" s="1"/>
      <c r="F28" s="12"/>
      <c r="G28" s="14"/>
      <c r="H28" s="14"/>
      <c r="J28" s="2"/>
    </row>
    <row r="29" spans="3:10" x14ac:dyDescent="0.25">
      <c r="C29" s="4"/>
      <c r="D29" s="1"/>
      <c r="E29" s="1"/>
      <c r="F29" s="12"/>
      <c r="G29" s="14"/>
      <c r="H29" s="14"/>
      <c r="J29" s="2"/>
    </row>
    <row r="30" spans="3:10" x14ac:dyDescent="0.25">
      <c r="C30" s="4"/>
      <c r="D30" s="1"/>
      <c r="E30" s="1"/>
      <c r="F30" s="12"/>
      <c r="G30" s="14"/>
      <c r="H30" s="14"/>
      <c r="J30" s="2"/>
    </row>
    <row r="31" spans="3:10" x14ac:dyDescent="0.25">
      <c r="C31" s="3"/>
      <c r="D31" s="1"/>
      <c r="E31" s="1"/>
      <c r="F31" s="12"/>
      <c r="G31" s="14"/>
      <c r="H31" s="14"/>
      <c r="J31" s="2"/>
    </row>
    <row r="32" spans="3:10" x14ac:dyDescent="0.25">
      <c r="C32" s="4"/>
      <c r="D32" s="1"/>
      <c r="E32" s="1"/>
      <c r="F32" s="12"/>
      <c r="G32" s="14"/>
      <c r="H32" s="14"/>
      <c r="J32" s="2"/>
    </row>
    <row r="33" spans="3:10" x14ac:dyDescent="0.25">
      <c r="C33" s="3"/>
      <c r="D33" s="1"/>
      <c r="E33" s="1"/>
      <c r="F33" s="12"/>
      <c r="G33" s="14"/>
      <c r="H33" s="14"/>
      <c r="J33" s="2"/>
    </row>
    <row r="34" spans="3:10" x14ac:dyDescent="0.25">
      <c r="C34" s="4"/>
      <c r="D34" s="1"/>
      <c r="E34" s="1"/>
      <c r="F34" s="12"/>
      <c r="G34" s="14"/>
      <c r="H34" s="14"/>
      <c r="J34" s="2"/>
    </row>
    <row r="35" spans="3:10" x14ac:dyDescent="0.25">
      <c r="C35" s="3"/>
      <c r="D35" s="1"/>
      <c r="E35" s="1"/>
      <c r="F35" s="12"/>
      <c r="G35" s="14"/>
      <c r="H35" s="14"/>
      <c r="J35" s="2"/>
    </row>
    <row r="36" spans="3:10" x14ac:dyDescent="0.25">
      <c r="C36" s="4"/>
      <c r="D36" s="1"/>
      <c r="E36" s="1"/>
      <c r="F36" s="12"/>
      <c r="G36" s="14"/>
      <c r="H36" s="14"/>
      <c r="J36" s="2"/>
    </row>
    <row r="37" spans="3:10" x14ac:dyDescent="0.25">
      <c r="C37" s="3"/>
      <c r="D37" s="1"/>
      <c r="E37" s="1"/>
      <c r="F37" s="12"/>
      <c r="G37" s="14"/>
      <c r="H37" s="14"/>
    </row>
    <row r="38" spans="3:10" x14ac:dyDescent="0.25">
      <c r="C38" s="3"/>
      <c r="D38" s="1"/>
      <c r="E38" s="1"/>
      <c r="F38" s="12"/>
      <c r="G38" s="14"/>
      <c r="H38" s="14"/>
    </row>
    <row r="39" spans="3:10" x14ac:dyDescent="0.25">
      <c r="C39" s="3"/>
      <c r="D39" s="1"/>
      <c r="E39" s="1"/>
      <c r="F39" s="12"/>
      <c r="G39" s="14"/>
      <c r="H39" s="14"/>
    </row>
    <row r="40" spans="3:10" x14ac:dyDescent="0.25">
      <c r="C40" s="3"/>
      <c r="D40" s="1"/>
      <c r="E40" s="1"/>
      <c r="F40" s="12"/>
    </row>
    <row r="41" spans="3:10" x14ac:dyDescent="0.25">
      <c r="C41" s="3"/>
      <c r="D41" s="1"/>
      <c r="E41" s="1"/>
      <c r="F41" s="12"/>
    </row>
    <row r="42" spans="3:10" x14ac:dyDescent="0.25">
      <c r="C42" s="3"/>
      <c r="D42" s="1"/>
      <c r="E42" s="1"/>
      <c r="F42" s="12"/>
    </row>
    <row r="43" spans="3:10" x14ac:dyDescent="0.25">
      <c r="C43" s="3"/>
      <c r="D43" s="1"/>
      <c r="E43" s="1"/>
      <c r="F43" s="12"/>
    </row>
    <row r="44" spans="3:10" x14ac:dyDescent="0.25">
      <c r="C44" s="4"/>
      <c r="D44" s="1"/>
      <c r="E44" s="1"/>
      <c r="F44" s="12"/>
    </row>
    <row r="45" spans="3:10" x14ac:dyDescent="0.25">
      <c r="C45" s="4"/>
      <c r="D45" s="1"/>
      <c r="E45" s="1"/>
      <c r="F45" s="12"/>
    </row>
    <row r="46" spans="3:10" x14ac:dyDescent="0.25">
      <c r="C46" s="3"/>
      <c r="D46" s="1"/>
      <c r="E46" s="1"/>
      <c r="F46" s="12"/>
    </row>
    <row r="47" spans="3:10" x14ac:dyDescent="0.25">
      <c r="C47" s="4"/>
      <c r="D47" s="1"/>
      <c r="E47" s="1"/>
      <c r="F47" s="12"/>
    </row>
    <row r="48" spans="3:10" x14ac:dyDescent="0.25">
      <c r="C48" s="4"/>
      <c r="D48" s="1"/>
      <c r="E48" s="1"/>
      <c r="F48" s="12"/>
    </row>
    <row r="49" spans="4:6" x14ac:dyDescent="0.25">
      <c r="F49" s="12"/>
    </row>
    <row r="53" spans="4:6" x14ac:dyDescent="0.25">
      <c r="D53" s="1"/>
      <c r="E53" s="1"/>
      <c r="F53" s="6"/>
    </row>
    <row r="54" spans="4:6" x14ac:dyDescent="0.25">
      <c r="D54" s="5"/>
      <c r="E54" s="5"/>
    </row>
  </sheetData>
  <pageMargins left="0.7" right="0.7" top="0.75" bottom="0.75" header="0.3" footer="0.3"/>
  <pageSetup orientation="portrait" verticalDpi="0" r:id="rId1"/>
  <customProperties>
    <customPr name="_pios_id" r:id="rId2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EC85A-05F2-4C1B-8F9D-AF6B0928CDF2}">
  <dimension ref="A3:N40"/>
  <sheetViews>
    <sheetView workbookViewId="0">
      <selection activeCell="C50" sqref="C50"/>
    </sheetView>
  </sheetViews>
  <sheetFormatPr defaultRowHeight="15" x14ac:dyDescent="0.25"/>
  <cols>
    <col min="1" max="1" width="18" bestFit="1" customWidth="1"/>
    <col min="2" max="2" width="15.42578125" bestFit="1" customWidth="1"/>
    <col min="3" max="3" width="12.42578125" bestFit="1" customWidth="1"/>
    <col min="6" max="6" width="16.28515625" bestFit="1" customWidth="1"/>
    <col min="7" max="7" width="21.5703125" bestFit="1" customWidth="1"/>
    <col min="12" max="12" width="27.5703125" bestFit="1" customWidth="1"/>
    <col min="13" max="13" width="10" bestFit="1" customWidth="1"/>
    <col min="14" max="14" width="16.5703125" bestFit="1" customWidth="1"/>
  </cols>
  <sheetData>
    <row r="3" spans="1:14" x14ac:dyDescent="0.25">
      <c r="A3" s="7" t="s">
        <v>7</v>
      </c>
      <c r="B3" t="s">
        <v>10</v>
      </c>
      <c r="C3" t="s">
        <v>9</v>
      </c>
      <c r="L3" s="7" t="s">
        <v>7</v>
      </c>
      <c r="M3" t="s">
        <v>15</v>
      </c>
      <c r="N3" t="s">
        <v>16</v>
      </c>
    </row>
    <row r="4" spans="1:14" x14ac:dyDescent="0.25">
      <c r="A4" s="8" t="s">
        <v>29</v>
      </c>
      <c r="B4">
        <v>7</v>
      </c>
      <c r="C4" s="9">
        <v>4600.9981325863682</v>
      </c>
      <c r="F4" t="s">
        <v>11</v>
      </c>
      <c r="G4" s="10">
        <f>GETPIVOTDATA("Sum of Mins ",$A$3)</f>
        <v>19606.634920634919</v>
      </c>
      <c r="L4" s="8" t="s">
        <v>64</v>
      </c>
      <c r="M4" s="9">
        <v>989.14285714285722</v>
      </c>
      <c r="N4" s="11">
        <v>28.85</v>
      </c>
    </row>
    <row r="5" spans="1:14" x14ac:dyDescent="0.25">
      <c r="A5" s="8" t="s">
        <v>24</v>
      </c>
      <c r="B5">
        <v>5</v>
      </c>
      <c r="C5" s="9">
        <v>4059.9047619047619</v>
      </c>
      <c r="F5" t="s">
        <v>12</v>
      </c>
      <c r="G5" s="10">
        <f>GETPIVOTDATA("Count of Author",$A$3)</f>
        <v>35</v>
      </c>
      <c r="L5" s="8" t="s">
        <v>67</v>
      </c>
      <c r="M5" s="9">
        <v>969.71428571428567</v>
      </c>
      <c r="N5" s="11">
        <v>28.283333333333331</v>
      </c>
    </row>
    <row r="6" spans="1:14" x14ac:dyDescent="0.25">
      <c r="A6" s="8" t="s">
        <v>50</v>
      </c>
      <c r="B6">
        <v>3</v>
      </c>
      <c r="C6" s="9">
        <v>2151.4285714285716</v>
      </c>
      <c r="L6" s="8" t="s">
        <v>37</v>
      </c>
      <c r="M6" s="9">
        <v>817.14285714285722</v>
      </c>
      <c r="N6" s="11">
        <v>23.833333333333336</v>
      </c>
    </row>
    <row r="7" spans="1:14" x14ac:dyDescent="0.25">
      <c r="A7" s="8" t="s">
        <v>48</v>
      </c>
      <c r="B7">
        <v>3</v>
      </c>
      <c r="C7" s="9">
        <v>1890.1176470588236</v>
      </c>
      <c r="L7" s="8" t="s">
        <v>18</v>
      </c>
      <c r="M7" s="9">
        <v>810.00000000000011</v>
      </c>
      <c r="N7" s="11">
        <v>22.950000000000003</v>
      </c>
    </row>
    <row r="8" spans="1:14" x14ac:dyDescent="0.25">
      <c r="A8" s="8" t="s">
        <v>40</v>
      </c>
      <c r="B8">
        <v>2</v>
      </c>
      <c r="C8" s="9">
        <v>1045.7142857142858</v>
      </c>
      <c r="F8" s="8" t="s">
        <v>13</v>
      </c>
      <c r="G8" t="str">
        <f>INDEX(L4:L12,MATCH(MAX(N4:N12),N4:N12,0))</f>
        <v>Death's End</v>
      </c>
      <c r="H8" s="4" t="str">
        <f>_xlfn.XLOOKUP(G8,'2026 Data'!A:A,'2026 Data'!C:C,"NA",0,1)</f>
        <v>NA</v>
      </c>
      <c r="L8" s="8" t="s">
        <v>53</v>
      </c>
      <c r="M8" s="9">
        <v>793.33333333333326</v>
      </c>
      <c r="N8" s="11">
        <v>23.8</v>
      </c>
    </row>
    <row r="9" spans="1:14" x14ac:dyDescent="0.25">
      <c r="A9" s="8" t="s">
        <v>35</v>
      </c>
      <c r="B9">
        <v>2</v>
      </c>
      <c r="C9" s="9">
        <v>1035.4285714285713</v>
      </c>
      <c r="F9" s="8" t="s">
        <v>14</v>
      </c>
      <c r="G9" t="str">
        <f>INDEX(L4:L17,MATCH(MIN(N4:N17),N4:N17,0))</f>
        <v>The Perfect Run</v>
      </c>
      <c r="H9" s="4" t="str">
        <f>_xlfn.XLOOKUP(G9,'2026 Data'!A:A,'2026 Data'!C:C,"NA",0,1)</f>
        <v>NA</v>
      </c>
      <c r="L9" s="8" t="s">
        <v>52</v>
      </c>
      <c r="M9" s="9">
        <v>701.71428571428567</v>
      </c>
      <c r="N9" s="11">
        <v>20.466666666666665</v>
      </c>
    </row>
    <row r="10" spans="1:14" x14ac:dyDescent="0.25">
      <c r="A10" s="8" t="s">
        <v>33</v>
      </c>
      <c r="B10">
        <v>3</v>
      </c>
      <c r="C10" s="9">
        <v>1014.9056956115779</v>
      </c>
      <c r="L10" s="8" t="s">
        <v>28</v>
      </c>
      <c r="M10" s="9">
        <v>690.85714285714289</v>
      </c>
      <c r="N10" s="11">
        <v>20.149999999999999</v>
      </c>
    </row>
    <row r="11" spans="1:14" x14ac:dyDescent="0.25">
      <c r="A11" s="8" t="s">
        <v>5</v>
      </c>
      <c r="B11">
        <v>1</v>
      </c>
      <c r="C11" s="9">
        <v>566.11111111111109</v>
      </c>
      <c r="L11" s="8" t="s">
        <v>62</v>
      </c>
      <c r="M11" s="9">
        <v>690.28571428571433</v>
      </c>
      <c r="N11" s="11">
        <v>20.133333333333333</v>
      </c>
    </row>
    <row r="12" spans="1:14" x14ac:dyDescent="0.25">
      <c r="A12" s="8" t="s">
        <v>55</v>
      </c>
      <c r="B12">
        <v>1</v>
      </c>
      <c r="C12" s="9">
        <v>538.23529411764707</v>
      </c>
      <c r="L12" s="8" t="s">
        <v>56</v>
      </c>
      <c r="M12" s="9">
        <v>686.28571428571433</v>
      </c>
      <c r="N12" s="11">
        <v>20.016666666666666</v>
      </c>
    </row>
    <row r="13" spans="1:14" x14ac:dyDescent="0.25">
      <c r="A13" s="8" t="s">
        <v>27</v>
      </c>
      <c r="B13">
        <v>1</v>
      </c>
      <c r="C13" s="9">
        <v>520</v>
      </c>
      <c r="L13" s="8" t="s">
        <v>30</v>
      </c>
      <c r="M13" s="9">
        <v>669.71428571428567</v>
      </c>
      <c r="N13" s="11">
        <v>19.533333333333331</v>
      </c>
    </row>
    <row r="14" spans="1:14" x14ac:dyDescent="0.25">
      <c r="A14" s="8" t="s">
        <v>61</v>
      </c>
      <c r="B14">
        <v>1</v>
      </c>
      <c r="C14" s="9">
        <v>455.55555555555549</v>
      </c>
      <c r="L14" s="8" t="s">
        <v>31</v>
      </c>
      <c r="M14" s="9">
        <v>665.71428571428578</v>
      </c>
      <c r="N14" s="11">
        <v>19.416666666666668</v>
      </c>
    </row>
    <row r="15" spans="1:14" x14ac:dyDescent="0.25">
      <c r="A15" s="8" t="s">
        <v>58</v>
      </c>
      <c r="B15">
        <v>1</v>
      </c>
      <c r="C15" s="9">
        <v>399.99999999999994</v>
      </c>
      <c r="L15" s="8" t="s">
        <v>42</v>
      </c>
      <c r="M15" s="9">
        <v>648.82352941176475</v>
      </c>
      <c r="N15" s="11">
        <v>18.383333333333333</v>
      </c>
    </row>
    <row r="16" spans="1:14" x14ac:dyDescent="0.25">
      <c r="A16" s="8" t="s">
        <v>4</v>
      </c>
      <c r="B16">
        <v>2</v>
      </c>
      <c r="C16" s="9">
        <v>370.85714285714289</v>
      </c>
      <c r="L16" s="8" t="s">
        <v>36</v>
      </c>
      <c r="M16" s="9">
        <v>634.11764705882365</v>
      </c>
      <c r="N16" s="11">
        <v>17.966666666666669</v>
      </c>
    </row>
    <row r="17" spans="1:14" x14ac:dyDescent="0.25">
      <c r="A17" s="8" t="s">
        <v>46</v>
      </c>
      <c r="B17">
        <v>1</v>
      </c>
      <c r="C17" s="9">
        <v>348.23529411764707</v>
      </c>
      <c r="L17" s="8" t="s">
        <v>66</v>
      </c>
      <c r="M17" s="9">
        <v>630.857142857143</v>
      </c>
      <c r="N17" s="11">
        <v>18.400000000000002</v>
      </c>
    </row>
    <row r="18" spans="1:14" x14ac:dyDescent="0.25">
      <c r="A18" s="8" t="s">
        <v>44</v>
      </c>
      <c r="B18">
        <v>1</v>
      </c>
      <c r="C18" s="9">
        <v>318.85714285714289</v>
      </c>
      <c r="L18" s="8" t="s">
        <v>70</v>
      </c>
      <c r="M18" s="9">
        <v>625.14285714285711</v>
      </c>
      <c r="N18" s="11">
        <v>18.233333333333334</v>
      </c>
    </row>
    <row r="19" spans="1:14" x14ac:dyDescent="0.25">
      <c r="A19" s="8" t="s">
        <v>65</v>
      </c>
      <c r="B19">
        <v>1</v>
      </c>
      <c r="C19" s="9">
        <v>290.28571428571428</v>
      </c>
      <c r="L19" s="8" t="s">
        <v>59</v>
      </c>
      <c r="M19" s="9">
        <v>609.71428571428578</v>
      </c>
      <c r="N19" s="11">
        <v>17.783333333333335</v>
      </c>
    </row>
    <row r="20" spans="1:14" x14ac:dyDescent="0.25">
      <c r="A20" s="8" t="s">
        <v>47</v>
      </c>
      <c r="C20" s="9"/>
      <c r="L20" s="8" t="s">
        <v>68</v>
      </c>
      <c r="M20" s="9">
        <v>593.8888888888888</v>
      </c>
      <c r="N20" s="11">
        <v>17.816666666666666</v>
      </c>
    </row>
    <row r="21" spans="1:14" x14ac:dyDescent="0.25">
      <c r="A21" s="8" t="s">
        <v>8</v>
      </c>
      <c r="B21">
        <v>35</v>
      </c>
      <c r="C21" s="9">
        <v>19606.634920634919</v>
      </c>
      <c r="L21" s="8" t="s">
        <v>69</v>
      </c>
      <c r="M21" s="9">
        <v>566.11111111111109</v>
      </c>
      <c r="N21" s="11">
        <v>16.983333333333334</v>
      </c>
    </row>
    <row r="22" spans="1:14" x14ac:dyDescent="0.25">
      <c r="L22" s="8" t="s">
        <v>54</v>
      </c>
      <c r="M22" s="9">
        <v>538.23529411764707</v>
      </c>
      <c r="N22" s="11">
        <v>15.25</v>
      </c>
    </row>
    <row r="23" spans="1:14" x14ac:dyDescent="0.25">
      <c r="L23" s="8" t="s">
        <v>41</v>
      </c>
      <c r="M23" s="9">
        <v>525.71428571428567</v>
      </c>
      <c r="N23" s="11">
        <v>15.333333333333332</v>
      </c>
    </row>
    <row r="24" spans="1:14" x14ac:dyDescent="0.25">
      <c r="L24" s="8" t="s">
        <v>34</v>
      </c>
      <c r="M24" s="9">
        <v>524.57142857142856</v>
      </c>
      <c r="N24" s="11">
        <v>15.299999999999999</v>
      </c>
    </row>
    <row r="25" spans="1:14" x14ac:dyDescent="0.25">
      <c r="L25" s="8" t="s">
        <v>39</v>
      </c>
      <c r="M25" s="9">
        <v>520</v>
      </c>
      <c r="N25" s="11">
        <v>15.166666666666666</v>
      </c>
    </row>
    <row r="26" spans="1:14" x14ac:dyDescent="0.25">
      <c r="L26" s="8" t="s">
        <v>26</v>
      </c>
      <c r="M26" s="9">
        <v>520</v>
      </c>
      <c r="N26" s="11">
        <v>15.166666666666666</v>
      </c>
    </row>
    <row r="27" spans="1:14" x14ac:dyDescent="0.25">
      <c r="L27" s="8" t="s">
        <v>73</v>
      </c>
      <c r="M27" s="9">
        <v>510.85714285714283</v>
      </c>
      <c r="N27" s="11">
        <v>14.9</v>
      </c>
    </row>
    <row r="28" spans="1:14" x14ac:dyDescent="0.25">
      <c r="L28" s="8" t="s">
        <v>49</v>
      </c>
      <c r="M28" s="9">
        <v>476.00000000000006</v>
      </c>
      <c r="N28" s="11">
        <v>13.883333333333335</v>
      </c>
    </row>
    <row r="29" spans="1:14" x14ac:dyDescent="0.25">
      <c r="L29" s="8" t="s">
        <v>60</v>
      </c>
      <c r="M29" s="9">
        <v>455.55555555555549</v>
      </c>
      <c r="N29" s="11">
        <v>13.666666666666666</v>
      </c>
    </row>
    <row r="30" spans="1:14" x14ac:dyDescent="0.25">
      <c r="L30" s="8" t="s">
        <v>57</v>
      </c>
      <c r="M30" s="9">
        <v>399.99999999999994</v>
      </c>
      <c r="N30" s="11">
        <v>12</v>
      </c>
    </row>
    <row r="31" spans="1:14" x14ac:dyDescent="0.25">
      <c r="L31" s="8" t="s">
        <v>38</v>
      </c>
      <c r="M31" s="9">
        <v>380.58823529411762</v>
      </c>
      <c r="N31" s="11">
        <v>10.783333333333333</v>
      </c>
    </row>
    <row r="32" spans="1:14" x14ac:dyDescent="0.25">
      <c r="L32" s="8" t="s">
        <v>45</v>
      </c>
      <c r="M32" s="9">
        <v>348.23529411764707</v>
      </c>
      <c r="N32" s="11">
        <v>9.8666666666666671</v>
      </c>
    </row>
    <row r="33" spans="12:14" x14ac:dyDescent="0.25">
      <c r="L33" s="8" t="s">
        <v>32</v>
      </c>
      <c r="M33" s="9">
        <v>335.42857142857139</v>
      </c>
      <c r="N33" s="11">
        <v>9.7833333333333332</v>
      </c>
    </row>
    <row r="34" spans="12:14" x14ac:dyDescent="0.25">
      <c r="L34" s="8" t="s">
        <v>43</v>
      </c>
      <c r="M34" s="9">
        <v>318.85714285714289</v>
      </c>
      <c r="N34" s="11">
        <v>9.3000000000000007</v>
      </c>
    </row>
    <row r="35" spans="12:14" x14ac:dyDescent="0.25">
      <c r="L35" s="8" t="s">
        <v>71</v>
      </c>
      <c r="M35" s="9">
        <v>298.88888888888891</v>
      </c>
      <c r="N35" s="11">
        <v>8.9666666666666668</v>
      </c>
    </row>
    <row r="36" spans="12:14" x14ac:dyDescent="0.25">
      <c r="L36" s="8" t="s">
        <v>63</v>
      </c>
      <c r="M36" s="9">
        <v>290.28571428571428</v>
      </c>
      <c r="N36" s="11">
        <v>8.4666666666666668</v>
      </c>
    </row>
    <row r="37" spans="12:14" x14ac:dyDescent="0.25">
      <c r="L37" s="8" t="s">
        <v>72</v>
      </c>
      <c r="M37" s="9">
        <v>220.00000000000003</v>
      </c>
      <c r="N37" s="11">
        <v>6.6000000000000005</v>
      </c>
    </row>
    <row r="38" spans="12:14" x14ac:dyDescent="0.25">
      <c r="L38" s="8" t="s">
        <v>51</v>
      </c>
      <c r="M38" s="9">
        <v>150.85714285714283</v>
      </c>
      <c r="N38" s="11">
        <v>4.3999999999999995</v>
      </c>
    </row>
    <row r="39" spans="12:14" x14ac:dyDescent="0.25">
      <c r="L39" s="8" t="s">
        <v>47</v>
      </c>
      <c r="M39" s="9"/>
      <c r="N39" s="11"/>
    </row>
    <row r="40" spans="12:14" x14ac:dyDescent="0.25">
      <c r="L40" s="8" t="s">
        <v>8</v>
      </c>
      <c r="M40" s="9">
        <v>19606.634920634922</v>
      </c>
      <c r="N40" s="11">
        <v>571.83333333333337</v>
      </c>
    </row>
  </sheetData>
  <pageMargins left="0.7" right="0.7" top="0.75" bottom="0.75" header="0.3" footer="0.3"/>
  <pageSetup orientation="portrait" verticalDpi="0" r:id="rId3"/>
  <customProperties>
    <customPr name="_pios_id" r:id="rId4"/>
  </customProperties>
</worksheet>
</file>

<file path=docMetadata/LabelInfo.xml><?xml version="1.0" encoding="utf-8"?>
<clbl:labelList xmlns:clbl="http://schemas.microsoft.com/office/2020/mipLabelMetadata">
  <clbl:label id="{4febecd1-b635-4bb7-96fd-6688487e52f1}" enabled="0" method="" siteId="{4febecd1-b635-4bb7-96fd-6688487e52f1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2026 Data</vt:lpstr>
      <vt:lpstr>2026 Stats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Peterson, Joshua</dc:creator>
  <cp:lastModifiedBy>Peterson, Joshua</cp:lastModifiedBy>
  <dcterms:created xsi:type="dcterms:W3CDTF">2025-07-07T20:37:52Z</dcterms:created>
  <dcterms:modified xsi:type="dcterms:W3CDTF">2026-08-17T18:31:56Z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ustomUiType">
    <vt:lpwstr>2</vt:lpwstr>
  </property>
</Properties>
</file>